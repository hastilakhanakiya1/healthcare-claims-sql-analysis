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tilakhanakiya/Desktop/"/>
    </mc:Choice>
  </mc:AlternateContent>
  <xr:revisionPtr revIDLastSave="0" documentId="8_{F4E7A3E9-CF5A-3141-9068-28FB029D92B2}" xr6:coauthVersionLast="47" xr6:coauthVersionMax="47" xr10:uidLastSave="{00000000-0000-0000-0000-000000000000}"/>
  <bookViews>
    <workbookView xWindow="0" yWindow="0" windowWidth="38400" windowHeight="21600" xr2:uid="{71DAD2B5-B96D-554B-9738-B43BB807A19D}"/>
  </bookViews>
  <sheets>
    <sheet name="Claims_Data" sheetId="1" r:id="rId1"/>
    <sheet name="Summary" sheetId="2" r:id="rId2"/>
  </sheets>
  <definedNames>
    <definedName name="_xlchart.v1.0" hidden="1">Summary!$A$18:$A$19</definedName>
    <definedName name="_xlchart.v1.1" hidden="1">Summary!$D$17</definedName>
    <definedName name="_xlchart.v1.10" hidden="1">Summary!$D$17</definedName>
    <definedName name="_xlchart.v1.11" hidden="1">Summary!$D$18:$D$19</definedName>
    <definedName name="_xlchart.v1.12" hidden="1">Summary!$A$18:$A$19</definedName>
    <definedName name="_xlchart.v1.13" hidden="1">Summary!$D$17</definedName>
    <definedName name="_xlchart.v1.14" hidden="1">Summary!$D$18:$D$19</definedName>
    <definedName name="_xlchart.v1.15" hidden="1">Summary!$A$18:$A$19</definedName>
    <definedName name="_xlchart.v1.16" hidden="1">Summary!$D$17</definedName>
    <definedName name="_xlchart.v1.17" hidden="1">Summary!$D$18:$D$19</definedName>
    <definedName name="_xlchart.v1.2" hidden="1">Summary!$D$18:$D$19</definedName>
    <definedName name="_xlchart.v1.23" hidden="1">Summary!$A$18:$A$19</definedName>
    <definedName name="_xlchart.v1.24" hidden="1">Summary!$D$17</definedName>
    <definedName name="_xlchart.v1.25" hidden="1">Summary!$D$18:$D$19</definedName>
    <definedName name="_xlchart.v1.26" hidden="1">Summary!$A$18:$A$19</definedName>
    <definedName name="_xlchart.v1.27" hidden="1">Summary!$D$17</definedName>
    <definedName name="_xlchart.v1.28" hidden="1">Summary!$D$18:$D$19</definedName>
    <definedName name="_xlchart.v1.29" hidden="1">Summary!$A$18:$A$19</definedName>
    <definedName name="_xlchart.v1.3" hidden="1">Summary!$A$18:$A$19</definedName>
    <definedName name="_xlchart.v1.30" hidden="1">Summary!$D$17</definedName>
    <definedName name="_xlchart.v1.31" hidden="1">Summary!$D$18:$D$19</definedName>
    <definedName name="_xlchart.v1.4" hidden="1">Summary!$D$17</definedName>
    <definedName name="_xlchart.v1.5" hidden="1">Summary!$D$18:$D$19</definedName>
    <definedName name="_xlchart.v1.6" hidden="1">Summary!$A$18:$A$19</definedName>
    <definedName name="_xlchart.v1.7" hidden="1">Summary!$D$17</definedName>
    <definedName name="_xlchart.v1.8" hidden="1">Summary!$D$18:$D$19</definedName>
    <definedName name="_xlchart.v1.9" hidden="1">Summary!$A$18:$A$19</definedName>
    <definedName name="_xlchart.v2.18" hidden="1">Summary!$A$23:$A$26</definedName>
    <definedName name="_xlchart.v2.19" hidden="1">Summary!$B$22</definedName>
    <definedName name="_xlchart.v2.20" hidden="1">Summary!$B$23:$B$26</definedName>
    <definedName name="_xlchart.v2.21" hidden="1">Summary!$C$22</definedName>
    <definedName name="_xlchart.v2.22" hidden="1">Summary!$C$23:$C$26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N5" i="1"/>
  <c r="N6" i="1"/>
  <c r="M2" i="1"/>
  <c r="M3" i="1"/>
  <c r="M4" i="1"/>
  <c r="M5" i="1"/>
  <c r="M6" i="1"/>
  <c r="M7" i="1"/>
  <c r="M8" i="1"/>
  <c r="M9" i="1"/>
  <c r="L2" i="1"/>
  <c r="N2" i="1" s="1"/>
  <c r="L3" i="1"/>
  <c r="N3" i="1" s="1"/>
  <c r="L4" i="1"/>
  <c r="N4" i="1" s="1"/>
  <c r="L5" i="1"/>
  <c r="L6" i="1"/>
  <c r="L7" i="1"/>
  <c r="N7" i="1" s="1"/>
  <c r="L8" i="1"/>
  <c r="N8" i="1" s="1"/>
  <c r="L9" i="1"/>
  <c r="N9" i="1" s="1"/>
  <c r="B31" i="2"/>
  <c r="C31" i="2" s="1"/>
  <c r="B32" i="2"/>
  <c r="C32" i="2" s="1"/>
  <c r="B33" i="2"/>
  <c r="C33" i="2" s="1"/>
  <c r="B30" i="2"/>
  <c r="C30" i="2" s="1"/>
  <c r="C26" i="2"/>
  <c r="C25" i="2"/>
  <c r="C24" i="2"/>
  <c r="C23" i="2"/>
  <c r="B26" i="2"/>
  <c r="B25" i="2"/>
  <c r="B24" i="2"/>
  <c r="B23" i="2"/>
  <c r="C19" i="2"/>
  <c r="C18" i="2"/>
  <c r="B19" i="2"/>
  <c r="B18" i="2"/>
  <c r="B14" i="2"/>
  <c r="B13" i="2"/>
  <c r="C13" i="2" s="1"/>
  <c r="B8" i="2"/>
  <c r="B7" i="2"/>
  <c r="B6" i="2"/>
  <c r="B5" i="2"/>
  <c r="B4" i="2"/>
  <c r="C14" i="2" l="1"/>
  <c r="D18" i="2"/>
  <c r="D19" i="2"/>
  <c r="B9" i="2"/>
</calcChain>
</file>

<file path=xl/sharedStrings.xml><?xml version="1.0" encoding="utf-8"?>
<sst xmlns="http://schemas.openxmlformats.org/spreadsheetml/2006/main" count="92" uniqueCount="54">
  <si>
    <t>claim_id</t>
  </si>
  <si>
    <t>member_id</t>
  </si>
  <si>
    <t>member_name</t>
  </si>
  <si>
    <t>provider_id</t>
  </si>
  <si>
    <t>provider_name</t>
  </si>
  <si>
    <t>network_status</t>
  </si>
  <si>
    <t>service_date</t>
  </si>
  <si>
    <t>coverage_end</t>
  </si>
  <si>
    <t>claim_amount</t>
  </si>
  <si>
    <t>claim_status</t>
  </si>
  <si>
    <t>denial_reason</t>
  </si>
  <si>
    <t>CLM1001</t>
  </si>
  <si>
    <t>Aarav Shah</t>
  </si>
  <si>
    <t>Charlotte Medical Center</t>
  </si>
  <si>
    <t>In-Network</t>
  </si>
  <si>
    <t>Approved</t>
  </si>
  <si>
    <t>CLM1002</t>
  </si>
  <si>
    <t>Riya Patel</t>
  </si>
  <si>
    <t>Carolina Primary Care</t>
  </si>
  <si>
    <t>CLM1003</t>
  </si>
  <si>
    <t>Neha Sharma</t>
  </si>
  <si>
    <t>Piedmont Specialist Center</t>
  </si>
  <si>
    <t>Out-of-Network</t>
  </si>
  <si>
    <t>Denied</t>
  </si>
  <si>
    <t>CLM1004</t>
  </si>
  <si>
    <t>Amit Mehta</t>
  </si>
  <si>
    <t>Member Not Eligible</t>
  </si>
  <si>
    <t>CLM1005</t>
  </si>
  <si>
    <t>Sara Johnson</t>
  </si>
  <si>
    <t>Peachtree Health Clinic</t>
  </si>
  <si>
    <t>CLM1006</t>
  </si>
  <si>
    <t>CLM1007</t>
  </si>
  <si>
    <t>Pending</t>
  </si>
  <si>
    <t>CLM1008</t>
  </si>
  <si>
    <t>Healthcare Claims Summary</t>
  </si>
  <si>
    <t>Metric</t>
  </si>
  <si>
    <t>Value</t>
  </si>
  <si>
    <t>Total Claims</t>
  </si>
  <si>
    <t>Approved Claims</t>
  </si>
  <si>
    <t>Denied Claims</t>
  </si>
  <si>
    <t>Pending Claims</t>
  </si>
  <si>
    <t>Total Claim Amount</t>
  </si>
  <si>
    <t>Denial Rate</t>
  </si>
  <si>
    <t>Denial Reason</t>
  </si>
  <si>
    <t>Count</t>
  </si>
  <si>
    <t>Member Not eligible</t>
  </si>
  <si>
    <t>% of Denials</t>
  </si>
  <si>
    <t>Network Status</t>
  </si>
  <si>
    <t>Provider</t>
  </si>
  <si>
    <t>Calculate Provide denial rate</t>
  </si>
  <si>
    <t>Eligibility Check</t>
  </si>
  <si>
    <t>Days After Coverage</t>
  </si>
  <si>
    <t>Claim Validation</t>
  </si>
  <si>
    <t>Denial Reason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</si>
</sst>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 (Body)"/>
    </font>
    <font>
      <b/>
      <sz val="12"/>
      <color theme="0"/>
      <name val="Aptos Narrow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44" fontId="0" fillId="0" borderId="0" xfId="1" applyFont="1"/>
    <xf numFmtId="168" fontId="0" fillId="0" borderId="0" xfId="2" applyNumberFormat="1" applyFont="1"/>
    <xf numFmtId="0" fontId="4" fillId="2" borderId="1" xfId="0" applyFont="1" applyFill="1" applyBorder="1"/>
    <xf numFmtId="0" fontId="0" fillId="0" borderId="1" xfId="0" applyBorder="1"/>
    <xf numFmtId="44" fontId="2" fillId="0" borderId="1" xfId="1" applyFont="1" applyBorder="1"/>
    <xf numFmtId="168" fontId="2" fillId="0" borderId="1" xfId="2" applyNumberFormat="1" applyFont="1" applyBorder="1"/>
    <xf numFmtId="0" fontId="5" fillId="0" borderId="0" xfId="0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</a:t>
            </a:r>
            <a:r>
              <a:rPr lang="en-US" baseline="0"/>
              <a:t> Status Distributuion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0A-0F49-AF3A-08E154D259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1.1632108486439195E-2"/>
                  <c:y val="0.118657771945173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0A-0F49-AF3A-08E154D259B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Approved Claims</c:v>
                </c:pt>
                <c:pt idx="1">
                  <c:v>Denied Claims</c:v>
                </c:pt>
                <c:pt idx="2">
                  <c:v>Pending Claims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A-0F49-AF3A-08E154D259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 Reasons</a:t>
            </a:r>
          </a:p>
        </c:rich>
      </c:tx>
      <c:layout>
        <c:manualLayout>
          <c:xMode val="edge"/>
          <c:yMode val="edge"/>
          <c:x val="0.4356666666666666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Summary!$A$13:$A$14</c:f>
              <c:strCache>
                <c:ptCount val="2"/>
                <c:pt idx="0">
                  <c:v>Out-of-Network</c:v>
                </c:pt>
                <c:pt idx="1">
                  <c:v>Member Not eligible</c:v>
                </c:pt>
              </c:strCache>
            </c:strRef>
          </c:cat>
          <c:val>
            <c:numRef>
              <c:f>Summary!$B$13:$B$14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B-C847-A026-1DE17F3063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8414399"/>
        <c:axId val="1228415295"/>
      </c:barChart>
      <c:catAx>
        <c:axId val="12284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15295"/>
        <c:crosses val="autoZero"/>
        <c:auto val="1"/>
        <c:lblAlgn val="ctr"/>
        <c:lblOffset val="100"/>
        <c:noMultiLvlLbl val="0"/>
      </c:catAx>
      <c:valAx>
        <c:axId val="12284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Denial</a:t>
            </a:r>
            <a:r>
              <a:rPr lang="en-US" baseline="0"/>
              <a:t> Rate by Network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Summary!$D$17</c:f>
              <c:strCache>
                <c:ptCount val="1"/>
                <c:pt idx="0">
                  <c:v>Denial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Summary!$A$18:$A$19</c:f>
              <c:strCache>
                <c:ptCount val="2"/>
                <c:pt idx="0">
                  <c:v>In-Network</c:v>
                </c:pt>
                <c:pt idx="1">
                  <c:v>Out-of-Network</c:v>
                </c:pt>
              </c:strCache>
            </c:strRef>
          </c:cat>
          <c:val>
            <c:numRef>
              <c:f>Summary!$D$18:$D$19</c:f>
              <c:numCache>
                <c:formatCode>0.0%</c:formatCode>
                <c:ptCount val="2"/>
                <c:pt idx="0">
                  <c:v>0.16666666666666666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1-574A-BF5E-2DE3E2A36E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3145791"/>
        <c:axId val="1233143551"/>
      </c:barChart>
      <c:catAx>
        <c:axId val="123314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43551"/>
        <c:crosses val="autoZero"/>
        <c:auto val="1"/>
        <c:lblAlgn val="ctr"/>
        <c:lblOffset val="100"/>
        <c:noMultiLvlLbl val="0"/>
      </c:catAx>
      <c:valAx>
        <c:axId val="12331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4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Claim Amount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Summary!$C$22</c:f>
              <c:strCache>
                <c:ptCount val="1"/>
                <c:pt idx="0">
                  <c:v>Total Claim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Summary!$A$23:$A$26</c:f>
              <c:strCache>
                <c:ptCount val="4"/>
                <c:pt idx="0">
                  <c:v>Charlotte Medical Center</c:v>
                </c:pt>
                <c:pt idx="1">
                  <c:v>Carolina Primary Care</c:v>
                </c:pt>
                <c:pt idx="2">
                  <c:v>Piedmont Specialist Center</c:v>
                </c:pt>
                <c:pt idx="3">
                  <c:v>Peachtree Health Clinic</c:v>
                </c:pt>
              </c:strCache>
            </c:strRef>
          </c:cat>
          <c:val>
            <c:numRef>
              <c:f>Summary!$C$23:$C$26</c:f>
              <c:numCache>
                <c:formatCode>_("$"* #,##0.00_);_("$"* \(#,##0.00\);_("$"* "-"??_);_(@_)</c:formatCode>
                <c:ptCount val="4"/>
                <c:pt idx="0">
                  <c:v>5000</c:v>
                </c:pt>
                <c:pt idx="1">
                  <c:v>455</c:v>
                </c:pt>
                <c:pt idx="2">
                  <c:v>1825</c:v>
                </c:pt>
                <c:pt idx="3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B-2C4B-A5EB-8C832AAA69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5755391"/>
        <c:axId val="1245755839"/>
      </c:barChart>
      <c:catAx>
        <c:axId val="12457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755839"/>
        <c:crosses val="autoZero"/>
        <c:auto val="1"/>
        <c:lblAlgn val="ctr"/>
        <c:lblOffset val="100"/>
        <c:noMultiLvlLbl val="0"/>
      </c:catAx>
      <c:valAx>
        <c:axId val="12457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75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285750</xdr:rowOff>
    </xdr:from>
    <xdr:to>
      <xdr:col>8</xdr:col>
      <xdr:colOff>806450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3D686-CD27-2D8B-DDFC-8FDE5A6D2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1</xdr:row>
      <xdr:rowOff>25400</xdr:rowOff>
    </xdr:from>
    <xdr:to>
      <xdr:col>14</xdr:col>
      <xdr:colOff>622300</xdr:colOff>
      <xdr:row>14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12140E-2934-7EE5-976C-F57037578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15</xdr:row>
      <xdr:rowOff>88900</xdr:rowOff>
    </xdr:from>
    <xdr:to>
      <xdr:col>14</xdr:col>
      <xdr:colOff>635000</xdr:colOff>
      <xdr:row>28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6A538-3B98-DDA9-0333-5AB0B7107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203200</xdr:colOff>
      <xdr:row>29</xdr:row>
      <xdr:rowOff>101600</xdr:rowOff>
    </xdr:from>
    <xdr:to>
      <xdr:col>14</xdr:col>
      <xdr:colOff>647700</xdr:colOff>
      <xdr:row>44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4724C3-816B-7FAD-E30F-A77C41596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52467-A572-314D-9040-2A5C10D3187A}" name="Table1" displayName="Table1" ref="A1:O9" totalsRowShown="0">
  <autoFilter ref="A1:O9" xr:uid="{4DA52467-A572-314D-9040-2A5C10D3187A}"/>
  <tableColumns count="15">
    <tableColumn id="1" xr3:uid="{B6E7A5C9-67ED-654C-85E0-DA707D410470}" name="claim_id"/>
    <tableColumn id="2" xr3:uid="{FFA0696C-99FA-B046-B04E-09F26DDBBD50}" name="member_id"/>
    <tableColumn id="3" xr3:uid="{94D5AEF8-E632-FF4B-AADE-B45210393A0B}" name="member_name"/>
    <tableColumn id="4" xr3:uid="{3EEF5168-7ED8-114D-92C7-04854B92B4C2}" name="provider_id"/>
    <tableColumn id="5" xr3:uid="{3C1AC7C7-E234-0B4E-9045-45579D8397F9}" name="provider_name"/>
    <tableColumn id="6" xr3:uid="{A4F70BDD-E607-9840-B072-957B12BA1A2E}" name="network_status"/>
    <tableColumn id="7" xr3:uid="{0FF23E76-0EA7-4D4E-A3D8-072F371BBB51}" name="service_date" dataDxfId="5"/>
    <tableColumn id="8" xr3:uid="{1B25FEDC-2215-D84F-AA84-1C27BF7A2CBA}" name="coverage_end" dataDxfId="4"/>
    <tableColumn id="9" xr3:uid="{2A1DFBAA-5B88-0D42-9966-4A32BC508573}" name="claim_amount"/>
    <tableColumn id="10" xr3:uid="{40DD2CAA-241F-D340-BCBA-BBA3664C1801}" name="claim_status"/>
    <tableColumn id="11" xr3:uid="{1EF32C57-D963-2D45-97B7-E90CB5F2C890}" name="denial_reason"/>
    <tableColumn id="12" xr3:uid="{F66EAFFD-7BEF-C243-BFE9-EE2BB22A49FE}" name="Eligibility Check" dataDxfId="3">
      <calculatedColumnFormula>IF(G2&lt;=H2,"Eligible","Not Eligible")</calculatedColumnFormula>
    </tableColumn>
    <tableColumn id="13" xr3:uid="{0985CE62-917E-304A-9CBC-0904C32F260E}" name="Days After Coverage" dataDxfId="2">
      <calculatedColumnFormula>IF(G2&gt;H2,G2-H2,0)</calculatedColumnFormula>
    </tableColumn>
    <tableColumn id="14" xr3:uid="{0A15E08C-FEF1-044F-A563-767BD289BF97}" name="Claim Validation" dataDxfId="1">
      <calculatedColumnFormula>IF(AND(L2="Not Eligible",J2&lt;&gt;"Denied"),"Review","Valid")</calculatedColumnFormula>
    </tableColumn>
    <tableColumn id="15" xr3:uid="{4A11FC2E-538B-5F48-85D0-94962536F959}" name="Denial Reason Check" dataDxfId="0">
      <calculatedColumnFormula>IF(AND(J2="Denied",K2=""),"Missing Reason","Valid")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A16-8C9C-1B42-9F95-497DF90E9DC1}">
  <dimension ref="A1:O9"/>
  <sheetViews>
    <sheetView tabSelected="1" workbookViewId="0">
      <selection activeCell="K5" sqref="K5"/>
    </sheetView>
  </sheetViews>
  <sheetFormatPr baseColWidth="10" defaultRowHeight="16" x14ac:dyDescent="0.2"/>
  <cols>
    <col min="1" max="1" width="10.83203125" customWidth="1"/>
    <col min="2" max="2" width="12.5" customWidth="1"/>
    <col min="3" max="3" width="15.5" customWidth="1"/>
    <col min="4" max="4" width="12.5" customWidth="1"/>
    <col min="5" max="5" width="15.5" customWidth="1"/>
    <col min="6" max="6" width="15.83203125" customWidth="1"/>
    <col min="7" max="7" width="13.83203125" customWidth="1"/>
    <col min="8" max="8" width="14.6640625" customWidth="1"/>
    <col min="9" max="9" width="15" customWidth="1"/>
    <col min="10" max="10" width="13.83203125" customWidth="1"/>
    <col min="11" max="11" width="15.1640625" customWidth="1"/>
    <col min="13" max="13" width="20.6640625" bestFit="1" customWidth="1"/>
    <col min="14" max="14" width="17.33203125" bestFit="1" customWidth="1"/>
    <col min="15" max="15" width="21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">
      <c r="A2" t="s">
        <v>11</v>
      </c>
      <c r="B2">
        <v>1001</v>
      </c>
      <c r="C2" t="s">
        <v>12</v>
      </c>
      <c r="D2">
        <v>501</v>
      </c>
      <c r="E2" t="s">
        <v>13</v>
      </c>
      <c r="F2" t="s">
        <v>14</v>
      </c>
      <c r="G2" s="1">
        <v>46218</v>
      </c>
      <c r="H2" s="1">
        <v>46387</v>
      </c>
      <c r="I2">
        <v>1250</v>
      </c>
      <c r="J2" t="s">
        <v>15</v>
      </c>
      <c r="L2" t="str">
        <f t="shared" ref="L2:L9" si="0">IF(G2&lt;=H2,"Eligible","Not Eligible")</f>
        <v>Eligible</v>
      </c>
      <c r="M2">
        <f t="shared" ref="M2:M9" si="1">IF(G2&gt;H2,G2-H2,0)</f>
        <v>0</v>
      </c>
      <c r="N2" t="str">
        <f t="shared" ref="N2:N9" si="2">IF(AND(L2="Not Eligible",J2&lt;&gt;"Denied"),"Review","Valid")</f>
        <v>Valid</v>
      </c>
      <c r="O2" s="10" t="str">
        <f t="shared" ref="O2:O9" si="3">IF(AND(J2="Denied",K2=""),"Missing Reason","Valid")</f>
        <v>Valid</v>
      </c>
    </row>
    <row r="3" spans="1:15" x14ac:dyDescent="0.2">
      <c r="A3" t="s">
        <v>16</v>
      </c>
      <c r="B3">
        <v>1002</v>
      </c>
      <c r="C3" t="s">
        <v>17</v>
      </c>
      <c r="D3">
        <v>502</v>
      </c>
      <c r="E3" t="s">
        <v>18</v>
      </c>
      <c r="F3" t="s">
        <v>14</v>
      </c>
      <c r="G3" s="1">
        <v>46237</v>
      </c>
      <c r="H3" s="1">
        <v>46387</v>
      </c>
      <c r="I3">
        <v>275</v>
      </c>
      <c r="J3" t="s">
        <v>15</v>
      </c>
      <c r="L3" t="str">
        <f t="shared" si="0"/>
        <v>Eligible</v>
      </c>
      <c r="M3">
        <f t="shared" si="1"/>
        <v>0</v>
      </c>
      <c r="N3" t="str">
        <f t="shared" si="2"/>
        <v>Valid</v>
      </c>
      <c r="O3" s="10" t="str">
        <f t="shared" si="3"/>
        <v>Valid</v>
      </c>
    </row>
    <row r="4" spans="1:15" x14ac:dyDescent="0.2">
      <c r="A4" t="s">
        <v>19</v>
      </c>
      <c r="B4">
        <v>1003</v>
      </c>
      <c r="C4" t="s">
        <v>20</v>
      </c>
      <c r="D4">
        <v>503</v>
      </c>
      <c r="E4" t="s">
        <v>21</v>
      </c>
      <c r="F4" t="s">
        <v>22</v>
      </c>
      <c r="G4" s="1">
        <v>46252</v>
      </c>
      <c r="H4" s="1">
        <v>46387</v>
      </c>
      <c r="I4">
        <v>850</v>
      </c>
      <c r="J4" t="s">
        <v>23</v>
      </c>
      <c r="K4" t="s">
        <v>22</v>
      </c>
      <c r="L4" t="str">
        <f t="shared" si="0"/>
        <v>Eligible</v>
      </c>
      <c r="M4">
        <f t="shared" si="1"/>
        <v>0</v>
      </c>
      <c r="N4" t="str">
        <f t="shared" si="2"/>
        <v>Valid</v>
      </c>
      <c r="O4" s="10" t="str">
        <f t="shared" si="3"/>
        <v>Valid</v>
      </c>
    </row>
    <row r="5" spans="1:15" x14ac:dyDescent="0.2">
      <c r="A5" t="s">
        <v>24</v>
      </c>
      <c r="B5">
        <v>1004</v>
      </c>
      <c r="C5" t="s">
        <v>25</v>
      </c>
      <c r="D5">
        <v>501</v>
      </c>
      <c r="E5" t="s">
        <v>13</v>
      </c>
      <c r="F5" t="s">
        <v>14</v>
      </c>
      <c r="G5" s="1">
        <v>46275</v>
      </c>
      <c r="H5" s="1">
        <v>46265</v>
      </c>
      <c r="I5">
        <v>2100</v>
      </c>
      <c r="J5" t="s">
        <v>23</v>
      </c>
      <c r="K5" t="s">
        <v>26</v>
      </c>
      <c r="L5" t="str">
        <f t="shared" si="0"/>
        <v>Not Eligible</v>
      </c>
      <c r="M5">
        <f t="shared" si="1"/>
        <v>10</v>
      </c>
      <c r="N5" t="str">
        <f t="shared" si="2"/>
        <v>Valid</v>
      </c>
      <c r="O5" s="10" t="str">
        <f t="shared" si="3"/>
        <v>Valid</v>
      </c>
    </row>
    <row r="6" spans="1:15" x14ac:dyDescent="0.2">
      <c r="A6" t="s">
        <v>27</v>
      </c>
      <c r="B6">
        <v>1005</v>
      </c>
      <c r="C6" t="s">
        <v>28</v>
      </c>
      <c r="D6">
        <v>504</v>
      </c>
      <c r="E6" t="s">
        <v>29</v>
      </c>
      <c r="F6" t="s">
        <v>14</v>
      </c>
      <c r="G6" s="1">
        <v>46277</v>
      </c>
      <c r="H6" s="1">
        <v>46387</v>
      </c>
      <c r="I6">
        <v>425</v>
      </c>
      <c r="J6" t="s">
        <v>15</v>
      </c>
      <c r="L6" t="str">
        <f t="shared" si="0"/>
        <v>Eligible</v>
      </c>
      <c r="M6">
        <f t="shared" si="1"/>
        <v>0</v>
      </c>
      <c r="N6" t="str">
        <f t="shared" si="2"/>
        <v>Valid</v>
      </c>
      <c r="O6" s="10" t="str">
        <f t="shared" si="3"/>
        <v>Valid</v>
      </c>
    </row>
    <row r="7" spans="1:15" x14ac:dyDescent="0.2">
      <c r="A7" t="s">
        <v>30</v>
      </c>
      <c r="B7">
        <v>1002</v>
      </c>
      <c r="C7" t="s">
        <v>17</v>
      </c>
      <c r="D7">
        <v>503</v>
      </c>
      <c r="E7" t="s">
        <v>21</v>
      </c>
      <c r="F7" t="s">
        <v>22</v>
      </c>
      <c r="G7" s="1">
        <v>46279</v>
      </c>
      <c r="H7" s="1">
        <v>46387</v>
      </c>
      <c r="I7">
        <v>975</v>
      </c>
      <c r="J7" t="s">
        <v>23</v>
      </c>
      <c r="K7" t="s">
        <v>22</v>
      </c>
      <c r="L7" t="str">
        <f t="shared" si="0"/>
        <v>Eligible</v>
      </c>
      <c r="M7">
        <f t="shared" si="1"/>
        <v>0</v>
      </c>
      <c r="N7" t="str">
        <f t="shared" si="2"/>
        <v>Valid</v>
      </c>
      <c r="O7" s="10" t="str">
        <f t="shared" si="3"/>
        <v>Valid</v>
      </c>
    </row>
    <row r="8" spans="1:15" x14ac:dyDescent="0.2">
      <c r="A8" t="s">
        <v>31</v>
      </c>
      <c r="B8">
        <v>1001</v>
      </c>
      <c r="C8" t="s">
        <v>12</v>
      </c>
      <c r="D8">
        <v>502</v>
      </c>
      <c r="E8" t="s">
        <v>18</v>
      </c>
      <c r="F8" t="s">
        <v>14</v>
      </c>
      <c r="G8" s="1">
        <v>46281</v>
      </c>
      <c r="H8" s="1">
        <v>46387</v>
      </c>
      <c r="I8">
        <v>180</v>
      </c>
      <c r="J8" t="s">
        <v>32</v>
      </c>
      <c r="L8" t="str">
        <f t="shared" si="0"/>
        <v>Eligible</v>
      </c>
      <c r="M8">
        <f t="shared" si="1"/>
        <v>0</v>
      </c>
      <c r="N8" t="str">
        <f t="shared" si="2"/>
        <v>Valid</v>
      </c>
      <c r="O8" s="10" t="str">
        <f t="shared" si="3"/>
        <v>Valid</v>
      </c>
    </row>
    <row r="9" spans="1:15" x14ac:dyDescent="0.2">
      <c r="A9" t="s">
        <v>33</v>
      </c>
      <c r="B9">
        <v>1003</v>
      </c>
      <c r="C9" t="s">
        <v>20</v>
      </c>
      <c r="D9">
        <v>501</v>
      </c>
      <c r="E9" t="s">
        <v>13</v>
      </c>
      <c r="F9" t="s">
        <v>14</v>
      </c>
      <c r="G9" s="1">
        <v>46283</v>
      </c>
      <c r="H9" s="1">
        <v>46387</v>
      </c>
      <c r="I9">
        <v>1650</v>
      </c>
      <c r="J9" t="s">
        <v>15</v>
      </c>
      <c r="L9" t="str">
        <f t="shared" si="0"/>
        <v>Eligible</v>
      </c>
      <c r="M9">
        <f t="shared" si="1"/>
        <v>0</v>
      </c>
      <c r="N9" t="str">
        <f t="shared" si="2"/>
        <v>Valid</v>
      </c>
      <c r="O9" s="10" t="str">
        <f t="shared" si="3"/>
        <v>Valid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39DD-6F2C-6943-8B82-71AF243AB528}">
  <dimension ref="A1:E33"/>
  <sheetViews>
    <sheetView workbookViewId="0">
      <selection activeCell="B37" sqref="B37"/>
    </sheetView>
  </sheetViews>
  <sheetFormatPr baseColWidth="10" defaultRowHeight="16" x14ac:dyDescent="0.2"/>
  <cols>
    <col min="1" max="1" width="18.5" customWidth="1"/>
    <col min="2" max="2" width="16.6640625" customWidth="1"/>
  </cols>
  <sheetData>
    <row r="1" spans="1:5" ht="24" x14ac:dyDescent="0.3">
      <c r="A1" s="2" t="s">
        <v>34</v>
      </c>
      <c r="B1" s="2"/>
      <c r="C1" s="2"/>
      <c r="D1" s="2"/>
      <c r="E1" s="2"/>
    </row>
    <row r="3" spans="1:5" x14ac:dyDescent="0.2">
      <c r="A3" s="5" t="s">
        <v>35</v>
      </c>
      <c r="B3" s="5" t="s">
        <v>36</v>
      </c>
    </row>
    <row r="4" spans="1:5" x14ac:dyDescent="0.2">
      <c r="A4" s="6" t="s">
        <v>37</v>
      </c>
      <c r="B4" s="6">
        <f>COUNTA(Claims_Data!A2:A9)</f>
        <v>8</v>
      </c>
    </row>
    <row r="5" spans="1:5" x14ac:dyDescent="0.2">
      <c r="A5" s="6" t="s">
        <v>38</v>
      </c>
      <c r="B5" s="6">
        <f>COUNTIF(Claims_Data!J2:J9,"Approved")</f>
        <v>4</v>
      </c>
    </row>
    <row r="6" spans="1:5" x14ac:dyDescent="0.2">
      <c r="A6" s="6" t="s">
        <v>39</v>
      </c>
      <c r="B6" s="6">
        <f>COUNTIF(Claims_Data!J2:J9,"Denied")</f>
        <v>3</v>
      </c>
    </row>
    <row r="7" spans="1:5" x14ac:dyDescent="0.2">
      <c r="A7" s="6" t="s">
        <v>40</v>
      </c>
      <c r="B7" s="6">
        <f>COUNTIF(Claims_Data!J2:J9,"Pending")</f>
        <v>1</v>
      </c>
    </row>
    <row r="8" spans="1:5" x14ac:dyDescent="0.2">
      <c r="A8" s="6" t="s">
        <v>41</v>
      </c>
      <c r="B8" s="7">
        <f>SUM(Claims_Data!I2:I9)</f>
        <v>7705</v>
      </c>
    </row>
    <row r="9" spans="1:5" x14ac:dyDescent="0.2">
      <c r="A9" s="6" t="s">
        <v>42</v>
      </c>
      <c r="B9" s="8">
        <f>B6/B4</f>
        <v>0.375</v>
      </c>
    </row>
    <row r="12" spans="1:5" x14ac:dyDescent="0.2">
      <c r="A12" t="s">
        <v>43</v>
      </c>
      <c r="B12" t="s">
        <v>44</v>
      </c>
      <c r="C12" t="s">
        <v>46</v>
      </c>
    </row>
    <row r="13" spans="1:5" x14ac:dyDescent="0.2">
      <c r="A13" t="s">
        <v>22</v>
      </c>
      <c r="B13">
        <f>COUNTIF(Claims_Data!K2:K9,A13)</f>
        <v>2</v>
      </c>
      <c r="C13" s="4">
        <f>B13/$B$6</f>
        <v>0.66666666666666663</v>
      </c>
    </row>
    <row r="14" spans="1:5" x14ac:dyDescent="0.2">
      <c r="A14" t="s">
        <v>45</v>
      </c>
      <c r="B14">
        <f>COUNTIF(Claims_Data!K2:K9,A14)</f>
        <v>1</v>
      </c>
      <c r="C14" s="4">
        <f>B14/$B$6</f>
        <v>0.33333333333333331</v>
      </c>
    </row>
    <row r="17" spans="1:4" ht="17" x14ac:dyDescent="0.25">
      <c r="A17" t="s">
        <v>47</v>
      </c>
      <c r="B17" t="s">
        <v>37</v>
      </c>
      <c r="C17" t="s">
        <v>39</v>
      </c>
      <c r="D17" s="9" t="s">
        <v>42</v>
      </c>
    </row>
    <row r="18" spans="1:4" x14ac:dyDescent="0.2">
      <c r="A18" t="s">
        <v>14</v>
      </c>
      <c r="B18">
        <f>COUNTIF(Claims_Data!F2:F9,A18)</f>
        <v>6</v>
      </c>
      <c r="C18">
        <f>COUNTIFS(Claims_Data!F2:F9,A18,Claims_Data!J2:J9,"Denied")</f>
        <v>1</v>
      </c>
      <c r="D18" s="4">
        <f>C18/B18</f>
        <v>0.16666666666666666</v>
      </c>
    </row>
    <row r="19" spans="1:4" x14ac:dyDescent="0.2">
      <c r="A19" t="s">
        <v>22</v>
      </c>
      <c r="B19">
        <f>COUNTIF(Claims_Data!F2:F9,A19)</f>
        <v>2</v>
      </c>
      <c r="C19">
        <f>COUNTIFS(Claims_Data!F2:F9,A19,Claims_Data!J2:J9,"Denied")</f>
        <v>2</v>
      </c>
      <c r="D19" s="4">
        <f>C19/B19</f>
        <v>1</v>
      </c>
    </row>
    <row r="22" spans="1:4" x14ac:dyDescent="0.2">
      <c r="A22" t="s">
        <v>48</v>
      </c>
      <c r="B22" t="s">
        <v>37</v>
      </c>
      <c r="C22" t="s">
        <v>41</v>
      </c>
    </row>
    <row r="23" spans="1:4" x14ac:dyDescent="0.2">
      <c r="A23" t="s">
        <v>13</v>
      </c>
      <c r="B23">
        <f>COUNTIF(Claims_Data!E2:E9,A23)</f>
        <v>3</v>
      </c>
      <c r="C23" s="3">
        <f>SUMIF(Claims_Data!E2:E9,A23,Claims_Data!I2:I9)</f>
        <v>5000</v>
      </c>
    </row>
    <row r="24" spans="1:4" x14ac:dyDescent="0.2">
      <c r="A24" t="s">
        <v>18</v>
      </c>
      <c r="B24">
        <f>COUNTIF(Claims_Data!E2:E9,A24)</f>
        <v>2</v>
      </c>
      <c r="C24" s="3">
        <f>SUMIF(Claims_Data!E2:E9,A24,Claims_Data!I2:I9)</f>
        <v>455</v>
      </c>
    </row>
    <row r="25" spans="1:4" x14ac:dyDescent="0.2">
      <c r="A25" t="s">
        <v>21</v>
      </c>
      <c r="B25">
        <f>COUNTIF(Claims_Data!E2:E9,A25)</f>
        <v>2</v>
      </c>
      <c r="C25" s="3">
        <f>SUMIF(Claims_Data!E2:E9,A25,Claims_Data!I2:I9)</f>
        <v>1825</v>
      </c>
    </row>
    <row r="26" spans="1:4" x14ac:dyDescent="0.2">
      <c r="A26" t="s">
        <v>29</v>
      </c>
      <c r="B26">
        <f>COUNTIF(Claims_Data!E2:E9,A26)</f>
        <v>1</v>
      </c>
      <c r="C26" s="3">
        <f>SUMIF(Claims_Data!E2:E9,A26,Claims_Data!I2:I9)</f>
        <v>425</v>
      </c>
    </row>
    <row r="29" spans="1:4" ht="15" customHeight="1" x14ac:dyDescent="0.2">
      <c r="A29" t="s">
        <v>48</v>
      </c>
      <c r="B29" t="s">
        <v>39</v>
      </c>
      <c r="C29" t="s">
        <v>49</v>
      </c>
    </row>
    <row r="30" spans="1:4" ht="15" customHeight="1" x14ac:dyDescent="0.2">
      <c r="A30" t="s">
        <v>13</v>
      </c>
      <c r="B30">
        <f>COUNTIFS(Claims_Data!E2:E9,A30,Claims_Data!J2:J9,"Denied")</f>
        <v>1</v>
      </c>
      <c r="C30" s="4">
        <f>B30/COUNTIF(Claims_Data!E2:E9,A30)</f>
        <v>0.33333333333333331</v>
      </c>
    </row>
    <row r="31" spans="1:4" ht="16" customHeight="1" x14ac:dyDescent="0.2">
      <c r="A31" t="s">
        <v>18</v>
      </c>
      <c r="B31">
        <f>COUNTIFS(Claims_Data!E3:E10,A31,Claims_Data!J3:J10,"Denied")</f>
        <v>0</v>
      </c>
      <c r="C31" s="4">
        <f>B31/COUNTIF(Claims_Data!E3:E10,A31)</f>
        <v>0</v>
      </c>
    </row>
    <row r="32" spans="1:4" x14ac:dyDescent="0.2">
      <c r="A32" t="s">
        <v>21</v>
      </c>
      <c r="B32">
        <f>COUNTIFS(Claims_Data!E4:E11,A32,Claims_Data!J4:J11,"Denied")</f>
        <v>2</v>
      </c>
      <c r="C32" s="4">
        <f>B32/COUNTIF(Claims_Data!E4:E11,A32)</f>
        <v>1</v>
      </c>
    </row>
    <row r="33" spans="1:3" x14ac:dyDescent="0.2">
      <c r="A33" t="s">
        <v>29</v>
      </c>
      <c r="B33">
        <f>COUNTIFS(Claims_Data!E5:E12,A33,Claims_Data!J5:J12,"Denied")</f>
        <v>0</v>
      </c>
      <c r="C33" s="4">
        <f>B33/COUNTIF(Claims_Data!E5:E12,A33)</f>
        <v>0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 Sudhirbhai Lakhanakiya</dc:creator>
  <cp:lastModifiedBy>Hasti Sudhirbhai Lakhanakiya</cp:lastModifiedBy>
  <dcterms:created xsi:type="dcterms:W3CDTF">2026-09-23T19:45:17Z</dcterms:created>
  <dcterms:modified xsi:type="dcterms:W3CDTF">2026-09-25T21:33:42Z</dcterms:modified>
</cp:coreProperties>
</file>